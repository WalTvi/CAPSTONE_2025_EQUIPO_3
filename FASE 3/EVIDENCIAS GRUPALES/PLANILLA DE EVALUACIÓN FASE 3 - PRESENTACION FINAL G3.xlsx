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688F3CAC-C26D-48AD-A69D-16B7EF4C2C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76" i="1"/>
  <c r="B63" i="1"/>
  <c r="B49" i="1"/>
  <c r="B57" i="1"/>
  <c r="B56" i="1"/>
  <c r="B55" i="1"/>
  <c r="B54" i="1"/>
  <c r="B53" i="1"/>
  <c r="B52" i="1"/>
  <c r="B51" i="1"/>
  <c r="B37" i="1"/>
  <c r="J57" i="1"/>
  <c r="K57" i="1" s="1"/>
  <c r="I57" i="1"/>
  <c r="F57" i="1"/>
  <c r="G57" i="1" s="1"/>
  <c r="E57" i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G53" i="1"/>
  <c r="E53" i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58" i="1" l="1"/>
  <c r="K58" i="1"/>
  <c r="I58" i="1"/>
  <c r="G58" i="1"/>
  <c r="C58" i="1" l="1"/>
  <c r="C59" i="1" s="1"/>
  <c r="B79" i="1"/>
  <c r="B80" i="1"/>
  <c r="B81" i="1"/>
  <c r="B82" i="1"/>
  <c r="B83" i="1"/>
  <c r="B84" i="1"/>
  <c r="B78" i="1"/>
  <c r="J84" i="1"/>
  <c r="K84" i="1" s="1"/>
  <c r="I84" i="1"/>
  <c r="F84" i="1"/>
  <c r="G84" i="1" s="1"/>
  <c r="E84" i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I71" i="1"/>
  <c r="F71" i="1"/>
  <c r="G71" i="1" s="1"/>
  <c r="E71" i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G67" i="1"/>
  <c r="E67" i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I45" i="1"/>
  <c r="G45" i="1"/>
  <c r="E45" i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I32" i="1"/>
  <c r="G32" i="1"/>
  <c r="E3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B14" i="1" l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D17" i="1"/>
  <c r="E17" i="1" s="1"/>
  <c r="D18" i="1"/>
  <c r="E18" i="1" s="1"/>
  <c r="E19" i="1"/>
  <c r="F17" i="1" l="1"/>
  <c r="G17" i="1" s="1"/>
  <c r="H17" i="1"/>
  <c r="I17" i="1" s="1"/>
  <c r="J17" i="1"/>
  <c r="K17" i="1" s="1"/>
  <c r="J19" i="1"/>
  <c r="K19" i="1" s="1"/>
  <c r="I19" i="1"/>
  <c r="G19" i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<sst xmlns="http://schemas.openxmlformats.org/spreadsheetml/2006/main" count="176" uniqueCount="67">
  <si>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</si>
  <si>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</si>
  <si>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</si>
  <si>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</si>
  <si>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</si>
  <si>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</si>
  <si>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</si>
  <si>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</si>
  <si>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</si>
  <si>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</si>
  <si>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</si>
  <si>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</si>
  <si>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</si>
  <si>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</si>
  <si>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</si>
  <si>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</si>
  <si>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</si>
  <si>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</si>
  <si>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</si>
  <si>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</si>
  <si>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</si>
  <si>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</si>
  <si>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</si>
  <si>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</si>
  <si>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</si>
  <si>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</si>
  <si>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</si>
  <si>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</si>
  <si>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</si>
  <si>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</si>
  <si>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</si>
  <si>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</si>
  <si>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</si>
  <si>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</si>
  <si>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</si>
  <si>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</si>
  <si>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</si>
  <si>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</si>
  <si>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</si>
  <si>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</si>
  <si>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</si>
  <si>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</si>
  <si>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</si>
  <si>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</si>
  <si>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</si>
  <si>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</si>
  <si>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</si>
  <si>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</si>
  <si>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</si>
  <si>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</si>
  <si>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</si>
  <si>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</si>
  <si>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</si>
  <si>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</si>
  <si>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</si>
  <si>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</si>
  <si>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</si>
  <si>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</si>
  <si>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</si>
  <si>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</si>
  <si>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</si>
  <si>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</si>
  <si>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</si>
  <si>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</si>
  <si>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RODRIGO ALONSO LETELIER ISAMI</t>
  </si>
  <si>
    <t>MATIAS FERNANDEZ VALDES</t>
  </si>
  <si>
    <t>KEVIN ALEJANDRO TORRES 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</si>
</sst>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79"/>
  <sheetViews>
    <sheetView tabSelected="1" zoomScale="85" zoomScaleNormal="85" workbookViewId="0">
      <selection sqref="A1:K8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5.9</v>
      </c>
      <c r="D4" s="37">
        <f>C73</f>
        <v>5.9</v>
      </c>
      <c r="E4" s="36">
        <f>C4*C$2+D4*D$2</f>
        <v>5.9</v>
      </c>
    </row>
    <row r="5" spans="1:11" ht="14.4" x14ac:dyDescent="0.3">
      <c r="A5" s="3">
        <v>2</v>
      </c>
      <c r="B5" s="16" t="s">
        <v>65</v>
      </c>
      <c r="C5" s="31">
        <f>C34</f>
        <v>5.9</v>
      </c>
      <c r="D5" s="37">
        <f>C86</f>
        <v>5.9</v>
      </c>
      <c r="E5" s="36">
        <f t="shared" ref="E5:E6" si="0">C5*C$2+D5*D$2</f>
        <v>5.9</v>
      </c>
    </row>
    <row r="6" spans="1:11" ht="14.4" x14ac:dyDescent="0.3">
      <c r="A6" s="3">
        <v>3</v>
      </c>
      <c r="B6" s="16" t="s">
        <v>66</v>
      </c>
      <c r="C6" s="31">
        <f>C47</f>
        <v>5.9</v>
      </c>
      <c r="D6" s="37">
        <f>C86</f>
        <v>5.9</v>
      </c>
      <c r="E6" s="36">
        <f t="shared" si="0"/>
        <v>5.9</v>
      </c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48" t="s">
        <v>4</v>
      </c>
      <c r="B11" s="11" t="str">
        <f>B4</f>
        <v>RODRIGO ALONSO LETELIER ISAMI</v>
      </c>
      <c r="C11" s="42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9"/>
      <c r="B12" s="15" t="s">
        <v>7</v>
      </c>
      <c r="C12" s="43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50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50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50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50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50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50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50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/>
      <c r="G19" s="12" t="str">
        <f>IF(F19="X",60*0.1,"")</f>
        <v/>
      </c>
      <c r="H19" s="12" t="s">
        <v>63</v>
      </c>
      <c r="I19" s="12">
        <f>IF(H19="X",30*0.1,"")</f>
        <v>3</v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9"/>
      <c r="B20" s="18" t="s">
        <v>12</v>
      </c>
      <c r="C20" s="22">
        <f>E20+G20+I20+K20</f>
        <v>85</v>
      </c>
      <c r="D20" s="13"/>
      <c r="E20" s="13">
        <f>SUM(E13:E19)</f>
        <v>70</v>
      </c>
      <c r="F20" s="13"/>
      <c r="G20" s="13">
        <f>SUM(G13:G19)</f>
        <v>12</v>
      </c>
      <c r="H20" s="13"/>
      <c r="I20" s="13">
        <f>SUM(I13:I19)</f>
        <v>3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5.9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MATIAS FERNANDEZ VALDES</v>
      </c>
      <c r="C24" s="42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9"/>
      <c r="B25" s="15" t="s">
        <v>7</v>
      </c>
      <c r="C25" s="43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50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50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50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50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50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50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50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/>
      <c r="G32" s="12" t="str">
        <f>IF(F32="X",60*0.1,"")</f>
        <v/>
      </c>
      <c r="H32" s="12" t="s">
        <v>63</v>
      </c>
      <c r="I32" s="12">
        <f>IF(H32="X",30*0.1,"")</f>
        <v>3</v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9"/>
      <c r="B33" s="18" t="s">
        <v>12</v>
      </c>
      <c r="C33" s="22">
        <f>E33+G33+I33+K33</f>
        <v>85</v>
      </c>
      <c r="D33" s="13"/>
      <c r="E33" s="13">
        <f>SUM(E26:E32)</f>
        <v>70</v>
      </c>
      <c r="F33" s="13"/>
      <c r="G33" s="13">
        <f>SUM(G26:G32)</f>
        <v>12</v>
      </c>
      <c r="H33" s="13"/>
      <c r="I33" s="13">
        <f>SUM(I26:I32)</f>
        <v>3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5.9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KEVIN ALEJANDRO TORRES JAIME</v>
      </c>
      <c r="C37" s="42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9"/>
      <c r="B38" s="15" t="s">
        <v>7</v>
      </c>
      <c r="C38" s="43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50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50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50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50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50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50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50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/>
      <c r="G45" s="12" t="str">
        <f>IF(F45="X",60*0.1,"")</f>
        <v/>
      </c>
      <c r="H45" s="12" t="s">
        <v>63</v>
      </c>
      <c r="I45" s="12">
        <f>IF(H45="X",30*0.1,"")</f>
        <v>3</v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9"/>
      <c r="B46" s="18" t="s">
        <v>12</v>
      </c>
      <c r="C46" s="22">
        <f>E46+G46+I46+K46</f>
        <v>85</v>
      </c>
      <c r="D46" s="13"/>
      <c r="E46" s="13">
        <f>SUM(E39:E45)</f>
        <v>70</v>
      </c>
      <c r="F46" s="13"/>
      <c r="G46" s="13">
        <f>SUM(G39:G45)</f>
        <v>12</v>
      </c>
      <c r="H46" s="13"/>
      <c r="I46" s="13">
        <f>SUM(I39:I45)</f>
        <v>3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5.9</v>
      </c>
    </row>
    <row r="48" spans="1:11" ht="15.75" customHeight="1" x14ac:dyDescent="0.3"/>
    <row r="49" spans="1:11" ht="15.75" customHeight="1" x14ac:dyDescent="0.3">
      <c r="A49" s="39" t="s">
        <v>14</v>
      </c>
      <c r="B49" s="11" t="str">
        <f>B4</f>
        <v>RODRIGO ALONSO LETELIER ISAMI</v>
      </c>
      <c r="C49" s="42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0"/>
      <c r="B50" s="15" t="s">
        <v>7</v>
      </c>
      <c r="C50" s="43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0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36.6" customHeight="1" x14ac:dyDescent="0.3">
      <c r="A52" s="40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7.6" customHeight="1" x14ac:dyDescent="0.3">
      <c r="A53" s="40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63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35.4" customHeight="1" x14ac:dyDescent="0.3">
      <c r="A54" s="40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17"/>
        <v>X</v>
      </c>
      <c r="E54" s="12">
        <f>IF(D54="X",100*0.05,"")</f>
        <v>5</v>
      </c>
      <c r="F54" s="12" t="str">
        <f t="shared" si="18"/>
        <v/>
      </c>
      <c r="G54" s="12" t="str">
        <f>IF(F54="X",60*0.05,"")</f>
        <v/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30.6" customHeight="1" x14ac:dyDescent="0.3">
      <c r="A55" s="40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9.4" customHeight="1" x14ac:dyDescent="0.3">
      <c r="A56" s="40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30" customHeight="1" x14ac:dyDescent="0.3">
      <c r="A57" s="40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/>
      <c r="E57" s="12" t="str">
        <f>IF(D57="X",100*0.1,"")</f>
        <v/>
      </c>
      <c r="F57" s="12" t="str">
        <f>IF($C57=L,"X","")</f>
        <v/>
      </c>
      <c r="G57" s="12" t="str">
        <f>IF(F57="X",60*0.1,"")</f>
        <v/>
      </c>
      <c r="H57" s="12" t="s">
        <v>63</v>
      </c>
      <c r="I57" s="12">
        <f>IF(H57="X",30*0.1,"")</f>
        <v>3</v>
      </c>
      <c r="J57" s="12" t="str">
        <f>IF($C57=NL,"X","")</f>
        <v/>
      </c>
      <c r="K57" s="12" t="str">
        <f t="shared" si="21"/>
        <v/>
      </c>
    </row>
    <row r="58" spans="1:11" ht="15.75" customHeight="1" x14ac:dyDescent="0.35">
      <c r="A58" s="40"/>
      <c r="B58" s="18" t="s">
        <v>12</v>
      </c>
      <c r="C58" s="22">
        <f>E58+G58+I58+K58</f>
        <v>85</v>
      </c>
      <c r="D58" s="13"/>
      <c r="E58" s="13">
        <f>SUM(E51:E57)</f>
        <v>70</v>
      </c>
      <c r="F58" s="13"/>
      <c r="G58" s="13">
        <f>SUM(G51:G57)</f>
        <v>12</v>
      </c>
      <c r="H58" s="13"/>
      <c r="I58" s="13">
        <f>SUM(I51:I57)</f>
        <v>3</v>
      </c>
      <c r="J58" s="13"/>
      <c r="K58" s="13">
        <f>SUM(K51:K57)</f>
        <v>0</v>
      </c>
    </row>
    <row r="59" spans="1:11" ht="27.6" customHeight="1" x14ac:dyDescent="0.35">
      <c r="A59" s="41"/>
      <c r="B59" s="21" t="s">
        <v>13</v>
      </c>
      <c r="C59" s="14">
        <f>VLOOKUP(C58,ESCALA_IEP!A40:B240,2,FALSE)</f>
        <v>5.9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MATIAS FERNANDEZ VALDES</v>
      </c>
      <c r="C63" s="42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3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0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70" si="22">IF($C65=CL,"X","")</f>
        <v>X</v>
      </c>
      <c r="E65" s="12">
        <f>IF(D65="X",100*0.15,"")</f>
        <v>15</v>
      </c>
      <c r="F65" s="12" t="str">
        <f t="shared" ref="F65:F71" si="23">IF($C65=L,"X","")</f>
        <v/>
      </c>
      <c r="G65" s="12" t="str">
        <f>IF(F65="X",60*0.15,"")</f>
        <v/>
      </c>
      <c r="H65" s="12" t="str">
        <f t="shared" ref="H65:H70" si="24">IF($C65=ML,"X","")</f>
        <v/>
      </c>
      <c r="I65" s="12" t="str">
        <f>IF(H65="X",30*0.15,"")</f>
        <v/>
      </c>
      <c r="J65" s="12" t="str">
        <f t="shared" ref="J65:J71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0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0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0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0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0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2"/>
        <v>X</v>
      </c>
      <c r="E70" s="12">
        <f>IF(D70="X",100*0.2,"")</f>
        <v>20</v>
      </c>
      <c r="F70" s="12" t="str">
        <f t="shared" si="23"/>
        <v/>
      </c>
      <c r="G70" s="12" t="str">
        <f>IF(F70="X",60*0.2,"")</f>
        <v/>
      </c>
      <c r="H70" s="12" t="str">
        <f t="shared" si="24"/>
        <v/>
      </c>
      <c r="I70" s="12" t="str">
        <f>IF(H70="X",30*0.2,"")</f>
        <v/>
      </c>
      <c r="J70" s="12" t="str">
        <f t="shared" si="25"/>
        <v/>
      </c>
      <c r="K70" s="12" t="str">
        <f t="shared" si="26"/>
        <v/>
      </c>
    </row>
    <row r="71" spans="1:11" ht="24" customHeight="1" x14ac:dyDescent="0.3">
      <c r="A71" s="40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tr">
        <f t="shared" si="23"/>
        <v/>
      </c>
      <c r="G71" s="12" t="str">
        <f>IF(F71="X",60*0.1,"")</f>
        <v/>
      </c>
      <c r="H71" s="12" t="s">
        <v>63</v>
      </c>
      <c r="I71" s="12">
        <f>IF(H71="X",30*0.1,"")</f>
        <v>3</v>
      </c>
      <c r="J71" s="12" t="str">
        <f t="shared" si="25"/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85</v>
      </c>
      <c r="D72" s="13"/>
      <c r="E72" s="13">
        <f>SUM(E65:E71)</f>
        <v>70</v>
      </c>
      <c r="F72" s="13"/>
      <c r="G72" s="13">
        <f>SUM(G65:G71)</f>
        <v>12</v>
      </c>
      <c r="H72" s="13"/>
      <c r="I72" s="13">
        <f>SUM(I65:I71)</f>
        <v>3</v>
      </c>
      <c r="J72" s="13"/>
      <c r="K72" s="13">
        <f>SUM(K65:K71)</f>
        <v>0</v>
      </c>
    </row>
    <row r="73" spans="1:11" ht="24" customHeight="1" x14ac:dyDescent="0.35">
      <c r="A73" s="41"/>
      <c r="B73" s="21" t="s">
        <v>13</v>
      </c>
      <c r="C73" s="14">
        <f>VLOOKUP(C72,ESCALA_IEP!A41:B241,2,FALSE)</f>
        <v>5.9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51" t="s">
        <v>16</v>
      </c>
      <c r="B76" s="11" t="str">
        <f>B6</f>
        <v>KEVIN ALEJANDRO TORRES JAIME</v>
      </c>
      <c r="C76" s="42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9"/>
      <c r="B77" s="15" t="s">
        <v>7</v>
      </c>
      <c r="C77" s="43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50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50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50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50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50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50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50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">
        <v>63</v>
      </c>
      <c r="I84" s="12">
        <f>IF(H84="X",30*0.1,"")</f>
        <v>3</v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9"/>
      <c r="B85" s="18" t="s">
        <v>12</v>
      </c>
      <c r="C85" s="22">
        <f>E85+G85+I85+K85</f>
        <v>85</v>
      </c>
      <c r="D85" s="13"/>
      <c r="E85" s="13">
        <f>SUM(E78:E84)</f>
        <v>70</v>
      </c>
      <c r="F85" s="13"/>
      <c r="G85" s="13">
        <f>SUM(G78:G84)</f>
        <v>12</v>
      </c>
      <c r="H85" s="13"/>
      <c r="I85" s="13">
        <f>SUM(I78:I84)</f>
        <v>3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VLOOKUP(C85,ESCALA_IEP!A54:B254,2,FALSE)</f>
        <v>5.9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</sheetData>
  <sheetProtection algorithmName="SHA-512" hashValue="121BxqwEt3HBjQDmfRNJ/ItHGfXTwocQLRckODwjPAhx/B5mbrwWSFAiZr7CAUvDNXKa+KBj+KqkS6qGB/nJig==" saltValue="xduq3J8uQf3bKmL5aG1MwQ==" spinCount="100000" sheet="1" objects="1" scenarios="1"/>
  <mergeCells count="42">
    <mergeCell ref="A76:A86"/>
    <mergeCell ref="C76:C77"/>
    <mergeCell ref="D76:K76"/>
    <mergeCell ref="D77:E77"/>
    <mergeCell ref="F77:G77"/>
    <mergeCell ref="H77:I77"/>
    <mergeCell ref="J77:K77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49:A59"/>
    <mergeCell ref="C49:C50"/>
    <mergeCell ref="D49:K49"/>
    <mergeCell ref="D50:E50"/>
    <mergeCell ref="F50:G50"/>
    <mergeCell ref="H50:I50"/>
    <mergeCell ref="J50:K50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2025-12-11T03:19:28Z</dcterms:modified>
  <cp:category/>
  <cp:contentStatus/>
</cp:coreProperties>
</file>